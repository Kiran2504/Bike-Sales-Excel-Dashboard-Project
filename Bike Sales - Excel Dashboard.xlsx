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OneDrive\Desktop\Data Entry\Bike-Sales-Excel-Dashboard-Project\"/>
    </mc:Choice>
  </mc:AlternateContent>
  <bookViews>
    <workbookView xWindow="0" yWindow="500" windowWidth="28800" windowHeight="16300" activeTab="3"/>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81" i="4" l="1"/>
  <c r="M972" i="4"/>
  <c r="M866" i="4"/>
  <c r="M857" i="4"/>
  <c r="M813" i="4"/>
  <c r="M807" i="4"/>
  <c r="M738" i="4"/>
  <c r="M657" i="4"/>
  <c r="M656" i="4"/>
  <c r="M655" i="4"/>
  <c r="M649" i="4"/>
  <c r="M578" i="4"/>
  <c r="M559" i="4"/>
  <c r="M501" i="4"/>
  <c r="M494" i="4"/>
  <c r="M486" i="4"/>
  <c r="M462" i="4"/>
  <c r="M431" i="4"/>
  <c r="M346" i="4"/>
  <c r="M254" i="4"/>
  <c r="M215" i="4"/>
  <c r="M202" i="4"/>
  <c r="M124" i="4"/>
  <c r="M77" i="4"/>
  <c r="M34"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3" i="4"/>
  <c r="M204" i="4"/>
  <c r="M205" i="4"/>
  <c r="M206" i="4"/>
  <c r="M207" i="4"/>
  <c r="M208" i="4"/>
  <c r="M209" i="4"/>
  <c r="M210" i="4"/>
  <c r="M211" i="4"/>
  <c r="M212" i="4"/>
  <c r="M213" i="4"/>
  <c r="M214"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3" i="4"/>
  <c r="M464" i="4"/>
  <c r="M465" i="4"/>
  <c r="M466" i="4"/>
  <c r="M467" i="4"/>
  <c r="M468" i="4"/>
  <c r="M469" i="4"/>
  <c r="M470" i="4"/>
  <c r="M471" i="4"/>
  <c r="M472" i="4"/>
  <c r="M473" i="4"/>
  <c r="M474" i="4"/>
  <c r="M475" i="4"/>
  <c r="M476" i="4"/>
  <c r="M477" i="4"/>
  <c r="M478" i="4"/>
  <c r="M479" i="4"/>
  <c r="M480" i="4"/>
  <c r="M481" i="4"/>
  <c r="M482" i="4"/>
  <c r="M483" i="4"/>
  <c r="M484" i="4"/>
  <c r="M485" i="4"/>
  <c r="M487" i="4"/>
  <c r="M488" i="4"/>
  <c r="M489" i="4"/>
  <c r="M490" i="4"/>
  <c r="M491" i="4"/>
  <c r="M492" i="4"/>
  <c r="M493" i="4"/>
  <c r="M495" i="4"/>
  <c r="M496" i="4"/>
  <c r="M497" i="4"/>
  <c r="M498" i="4"/>
  <c r="M499" i="4"/>
  <c r="M500"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60" i="4"/>
  <c r="M561" i="4"/>
  <c r="M562" i="4"/>
  <c r="M563" i="4"/>
  <c r="M564" i="4"/>
  <c r="M565" i="4"/>
  <c r="M566" i="4"/>
  <c r="M567" i="4"/>
  <c r="M568" i="4"/>
  <c r="M569" i="4"/>
  <c r="M570" i="4"/>
  <c r="M571" i="4"/>
  <c r="M572" i="4"/>
  <c r="M573" i="4"/>
  <c r="M574" i="4"/>
  <c r="M575" i="4"/>
  <c r="M576" i="4"/>
  <c r="M577"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50" i="4"/>
  <c r="M651" i="4"/>
  <c r="M652" i="4"/>
  <c r="M653" i="4"/>
  <c r="M654"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8" i="4"/>
  <c r="M809" i="4"/>
  <c r="M810" i="4"/>
  <c r="M811" i="4"/>
  <c r="M812"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8" i="4"/>
  <c r="M859" i="4"/>
  <c r="M860" i="4"/>
  <c r="M861" i="4"/>
  <c r="M862" i="4"/>
  <c r="M863" i="4"/>
  <c r="M864" i="4"/>
  <c r="M865"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3" i="4"/>
  <c r="M974" i="4"/>
  <c r="M975" i="4"/>
  <c r="M976" i="4"/>
  <c r="M977" i="4"/>
  <c r="M978" i="4"/>
  <c r="M979" i="4"/>
  <c r="M980"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<sst xmlns="http://schemas.openxmlformats.org/spreadsheetml/2006/main" count="16267" uniqueCount="51">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</sst>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quot;$&quot;#,##0.00"/>
    <numFmt numFmtId="165" formatCode="_([$$-409]* #,##0.00_);_([$$-409]* \(#,##0.00\);_([$$-409]* &quot;-&quot;??_);_(@_)"/>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9" tint="-0.499984740745262"/>
      <name val="Calibri"/>
      <family val="2"/>
      <scheme val="minor"/>
    </font>
    <font>
      <b/>
      <sz val="48"/>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1F7B-554F-B08F-84DDC8748B1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1-9106-2243-BC3E-02B07E1F12F3}"/>
            </c:ext>
          </c:extLst>
        </c:ser>
        <c:dLbls>
          <c:showLegendKey val="0"/>
          <c:showVal val="0"/>
          <c:showCatName val="0"/>
          <c:showSerName val="0"/>
          <c:showPercent val="0"/>
          <c:showBubbleSize val="0"/>
        </c:dLbls>
        <c:gapWidth val="150"/>
        <c:axId val="356145168"/>
        <c:axId val="356144776"/>
      </c:barChart>
      <c:catAx>
        <c:axId val="35614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44776"/>
        <c:crosses val="autoZero"/>
        <c:auto val="1"/>
        <c:lblAlgn val="ctr"/>
        <c:lblOffset val="100"/>
        <c:noMultiLvlLbl val="0"/>
      </c:catAx>
      <c:valAx>
        <c:axId val="356144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45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xmlns:c16r2="http://schemas.microsoft.com/office/drawing/2015/06/chart">
            <c:ext xmlns:c16="http://schemas.microsoft.com/office/drawing/2014/chart" uri="{C3380CC4-5D6E-409C-BE32-E72D297353CC}">
              <c16:uniqueId val="{00000000-9DDC-2B4D-89FB-B4EEA5C85623}"/>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xmlns:c16r2="http://schemas.microsoft.com/office/drawing/2015/06/chart">
            <c:ext xmlns:c16="http://schemas.microsoft.com/office/drawing/2014/chart" uri="{C3380CC4-5D6E-409C-BE32-E72D297353CC}">
              <c16:uniqueId val="{00000001-9DDC-2B4D-89FB-B4EEA5C85623}"/>
            </c:ext>
          </c:extLst>
        </c:ser>
        <c:dLbls>
          <c:showLegendKey val="0"/>
          <c:showVal val="1"/>
          <c:showCatName val="0"/>
          <c:showSerName val="0"/>
          <c:showPercent val="0"/>
          <c:showBubbleSize val="0"/>
        </c:dLbls>
        <c:marker val="1"/>
        <c:smooth val="0"/>
        <c:axId val="356143992"/>
        <c:axId val="356145952"/>
      </c:lineChart>
      <c:catAx>
        <c:axId val="356143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45952"/>
        <c:crosses val="autoZero"/>
        <c:auto val="1"/>
        <c:lblAlgn val="ctr"/>
        <c:lblOffset val="100"/>
        <c:noMultiLvlLbl val="0"/>
      </c:catAx>
      <c:valAx>
        <c:axId val="35614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143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1"/>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3DCE-E74A-BE24-A4DB7638894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1-3DCE-E74A-BE24-A4DB76388944}"/>
            </c:ext>
          </c:extLst>
        </c:ser>
        <c:dLbls>
          <c:showLegendKey val="0"/>
          <c:showVal val="1"/>
          <c:showCatName val="0"/>
          <c:showSerName val="0"/>
          <c:showPercent val="0"/>
          <c:showBubbleSize val="0"/>
        </c:dLbls>
        <c:smooth val="0"/>
        <c:axId val="356840032"/>
        <c:axId val="356838072"/>
      </c:lineChart>
      <c:catAx>
        <c:axId val="3568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38072"/>
        <c:crosses val="autoZero"/>
        <c:auto val="1"/>
        <c:lblAlgn val="ctr"/>
        <c:lblOffset val="100"/>
        <c:noMultiLvlLbl val="0"/>
      </c:catAx>
      <c:valAx>
        <c:axId val="356838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40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695D-8443-8A0D-5584FA7E15E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2-E331-5248-A702-EF5675A76445}"/>
            </c:ext>
          </c:extLst>
        </c:ser>
        <c:dLbls>
          <c:showLegendKey val="0"/>
          <c:showVal val="0"/>
          <c:showCatName val="0"/>
          <c:showSerName val="0"/>
          <c:showPercent val="0"/>
          <c:showBubbleSize val="0"/>
        </c:dLbls>
        <c:gapWidth val="150"/>
        <c:axId val="356840424"/>
        <c:axId val="356839248"/>
      </c:barChart>
      <c:catAx>
        <c:axId val="356840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39248"/>
        <c:crosses val="autoZero"/>
        <c:auto val="1"/>
        <c:lblAlgn val="ctr"/>
        <c:lblOffset val="100"/>
        <c:noMultiLvlLbl val="0"/>
      </c:catAx>
      <c:valAx>
        <c:axId val="356839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404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Table'!$B$48:$B$51</c:f>
              <c:numCache>
                <c:formatCode>General</c:formatCode>
                <c:ptCount val="3"/>
                <c:pt idx="0">
                  <c:v>71</c:v>
                </c:pt>
                <c:pt idx="1">
                  <c:v>318</c:v>
                </c:pt>
                <c:pt idx="2">
                  <c:v>130</c:v>
                </c:pt>
              </c:numCache>
            </c:numRef>
          </c:val>
          <c:smooth val="0"/>
          <c:extLst xmlns:c16r2="http://schemas.microsoft.com/office/drawing/2015/06/chart">
            <c:ext xmlns:c16="http://schemas.microsoft.com/office/drawing/2014/chart" uri="{C3380CC4-5D6E-409C-BE32-E72D297353CC}">
              <c16:uniqueId val="{00000000-EE17-B740-87F6-7CC40F0047B8}"/>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Table'!$A$48:$A$51</c:f>
              <c:strCache>
                <c:ptCount val="3"/>
                <c:pt idx="0">
                  <c:v>Adolescent</c:v>
                </c:pt>
                <c:pt idx="1">
                  <c:v>Middle Age</c:v>
                </c:pt>
                <c:pt idx="2">
                  <c:v>Old</c:v>
                </c:pt>
              </c:strCache>
            </c:strRef>
          </c:cat>
          <c:val>
            <c:numRef>
              <c:f>'Pivot Table'!$C$48:$C$51</c:f>
              <c:numCache>
                <c:formatCode>General</c:formatCode>
                <c:ptCount val="3"/>
                <c:pt idx="0">
                  <c:v>39</c:v>
                </c:pt>
                <c:pt idx="1">
                  <c:v>383</c:v>
                </c:pt>
                <c:pt idx="2">
                  <c:v>59</c:v>
                </c:pt>
              </c:numCache>
            </c:numRef>
          </c:val>
          <c:smooth val="0"/>
          <c:extLst xmlns:c16r2="http://schemas.microsoft.com/office/drawing/2015/06/chart">
            <c:ext xmlns:c16="http://schemas.microsoft.com/office/drawing/2014/chart" uri="{C3380CC4-5D6E-409C-BE32-E72D297353CC}">
              <c16:uniqueId val="{00000001-EE17-B740-87F6-7CC40F0047B8}"/>
            </c:ext>
          </c:extLst>
        </c:ser>
        <c:dLbls>
          <c:showLegendKey val="0"/>
          <c:showVal val="1"/>
          <c:showCatName val="0"/>
          <c:showSerName val="0"/>
          <c:showPercent val="0"/>
          <c:showBubbleSize val="0"/>
        </c:dLbls>
        <c:marker val="1"/>
        <c:smooth val="0"/>
        <c:axId val="356892904"/>
        <c:axId val="356896040"/>
      </c:lineChart>
      <c:catAx>
        <c:axId val="356892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6040"/>
        <c:crosses val="autoZero"/>
        <c:auto val="1"/>
        <c:lblAlgn val="ctr"/>
        <c:lblOffset val="100"/>
        <c:noMultiLvlLbl val="0"/>
      </c:catAx>
      <c:valAx>
        <c:axId val="356896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2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F845-A84F-97AD-AEFAB9367404}"/>
            </c:ext>
          </c:extLst>
        </c:ser>
        <c:ser>
          <c:idx val="1"/>
          <c:order val="1"/>
          <c:tx>
            <c:strRef>
              <c:f>'Pivot 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1-F845-A84F-97AD-AEFAB9367404}"/>
            </c:ext>
          </c:extLst>
        </c:ser>
        <c:dLbls>
          <c:showLegendKey val="0"/>
          <c:showVal val="1"/>
          <c:showCatName val="0"/>
          <c:showSerName val="0"/>
          <c:showPercent val="0"/>
          <c:showBubbleSize val="0"/>
        </c:dLbls>
        <c:smooth val="0"/>
        <c:axId val="356895648"/>
        <c:axId val="356894864"/>
      </c:lineChart>
      <c:catAx>
        <c:axId val="35689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4864"/>
        <c:crosses val="autoZero"/>
        <c:auto val="1"/>
        <c:lblAlgn val="ctr"/>
        <c:lblOffset val="100"/>
        <c:noMultiLvlLbl val="0"/>
      </c:catAx>
      <c:valAx>
        <c:axId val="35689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95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8890</xdr:rowOff>
    </xdr:from>
    <xdr:to>
      <xdr:col>13</xdr:col>
      <xdr:colOff>6350</xdr:colOff>
      <xdr:row>20</xdr:row>
      <xdr:rowOff>165100</xdr:rowOff>
    </xdr:to>
    <xdr:graphicFrame macro="">
      <xdr:nvGraphicFramePr>
        <xdr:cNvPr id="2" name="Chart 1">
          <a:extLst>
            <a:ext uri="{FF2B5EF4-FFF2-40B4-BE49-F238E27FC236}">
              <a16:creationId xmlns:a16="http://schemas.microsoft.com/office/drawing/2014/main" xmlns="" id="{99CBB33C-B4E3-0088-264D-AA25BCB6E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45</xdr:row>
      <xdr:rowOff>0</xdr:rowOff>
    </xdr:from>
    <xdr:to>
      <xdr:col>12</xdr:col>
      <xdr:colOff>812800</xdr:colOff>
      <xdr:row>65</xdr:row>
      <xdr:rowOff>137160</xdr:rowOff>
    </xdr:to>
    <xdr:graphicFrame macro="">
      <xdr:nvGraphicFramePr>
        <xdr:cNvPr id="4" name="Chart 3">
          <a:extLst>
            <a:ext uri="{FF2B5EF4-FFF2-40B4-BE49-F238E27FC236}">
              <a16:creationId xmlns:a16="http://schemas.microsoft.com/office/drawing/2014/main" xmlns="" id="{20336CB3-C6A8-F71D-15A6-830E95572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22</xdr:row>
      <xdr:rowOff>25400</xdr:rowOff>
    </xdr:from>
    <xdr:to>
      <xdr:col>13</xdr:col>
      <xdr:colOff>0</xdr:colOff>
      <xdr:row>42</xdr:row>
      <xdr:rowOff>170180</xdr:rowOff>
    </xdr:to>
    <xdr:graphicFrame macro="">
      <xdr:nvGraphicFramePr>
        <xdr:cNvPr id="6" name="Chart 5">
          <a:extLst>
            <a:ext uri="{FF2B5EF4-FFF2-40B4-BE49-F238E27FC236}">
              <a16:creationId xmlns:a16="http://schemas.microsoft.com/office/drawing/2014/main" xmlns="" id="{D25538BB-6CAF-1088-DAF9-9603CE0F7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647700</xdr:colOff>
      <xdr:row>5</xdr:row>
      <xdr:rowOff>80010</xdr:rowOff>
    </xdr:from>
    <xdr:to>
      <xdr:col>9</xdr:col>
      <xdr:colOff>203200</xdr:colOff>
      <xdr:row>25</xdr:row>
      <xdr:rowOff>118110</xdr:rowOff>
    </xdr:to>
    <xdr:graphicFrame macro="">
      <xdr:nvGraphicFramePr>
        <xdr:cNvPr id="2" name="Chart 1">
          <a:extLst>
            <a:ext uri="{FF2B5EF4-FFF2-40B4-BE49-F238E27FC236}">
              <a16:creationId xmlns:a16="http://schemas.microsoft.com/office/drawing/2014/main" xmlns="" id="{B1B169FB-A801-574E-8C3D-3AFD0F70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80011</xdr:rowOff>
    </xdr:from>
    <xdr:to>
      <xdr:col>14</xdr:col>
      <xdr:colOff>826148</xdr:colOff>
      <xdr:row>25</xdr:row>
      <xdr:rowOff>116634</xdr:rowOff>
    </xdr:to>
    <xdr:graphicFrame macro="">
      <xdr:nvGraphicFramePr>
        <xdr:cNvPr id="4" name="Chart 3">
          <a:extLst>
            <a:ext uri="{FF2B5EF4-FFF2-40B4-BE49-F238E27FC236}">
              <a16:creationId xmlns:a16="http://schemas.microsoft.com/office/drawing/2014/main" xmlns="" id="{FE20A5D3-059C-7949-8172-F3235EB4F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27751</xdr:colOff>
      <xdr:row>5</xdr:row>
      <xdr:rowOff>85608</xdr:rowOff>
    </xdr:from>
    <xdr:to>
      <xdr:col>2</xdr:col>
      <xdr:colOff>611481</xdr:colOff>
      <xdr:row>10</xdr:row>
      <xdr:rowOff>94075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xmlns="" id="{5EF4F253-F143-7609-8738-9F340F7F752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751" y="1026349"/>
              <a:ext cx="2245705" cy="949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52995</xdr:colOff>
      <xdr:row>19</xdr:row>
      <xdr:rowOff>123473</xdr:rowOff>
    </xdr:from>
    <xdr:to>
      <xdr:col>2</xdr:col>
      <xdr:colOff>611482</xdr:colOff>
      <xdr:row>28</xdr:row>
      <xdr:rowOff>106697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xmlns="" id="{5FE6FA00-428C-8833-6941-CF445446E3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995" y="3698288"/>
              <a:ext cx="2220462" cy="1676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49546</xdr:colOff>
      <xdr:row>11</xdr:row>
      <xdr:rowOff>178153</xdr:rowOff>
    </xdr:from>
    <xdr:to>
      <xdr:col>2</xdr:col>
      <xdr:colOff>595803</xdr:colOff>
      <xdr:row>18</xdr:row>
      <xdr:rowOff>39394</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xmlns="" id="{C11B862C-CC7B-1C77-C6C0-52932BB793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546" y="2247783"/>
              <a:ext cx="2208232" cy="11782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642840</xdr:colOff>
      <xdr:row>25</xdr:row>
      <xdr:rowOff>172469</xdr:rowOff>
    </xdr:from>
    <xdr:to>
      <xdr:col>15</xdr:col>
      <xdr:colOff>0</xdr:colOff>
      <xdr:row>46</xdr:row>
      <xdr:rowOff>176138</xdr:rowOff>
    </xdr:to>
    <xdr:graphicFrame macro="">
      <xdr:nvGraphicFramePr>
        <xdr:cNvPr id="9" name="Chart 8">
          <a:extLst>
            <a:ext uri="{FF2B5EF4-FFF2-40B4-BE49-F238E27FC236}">
              <a16:creationId xmlns:a16="http://schemas.microsoft.com/office/drawing/2014/main" xmlns="" id="{E6CA9D5C-F9FC-F64A-ACE5-E32B45C6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52211</xdr:colOff>
      <xdr:row>30</xdr:row>
      <xdr:rowOff>2628</xdr:rowOff>
    </xdr:from>
    <xdr:to>
      <xdr:col>2</xdr:col>
      <xdr:colOff>564446</xdr:colOff>
      <xdr:row>34</xdr:row>
      <xdr:rowOff>173999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xmlns="" id="{7F3935ED-F29D-8480-1F48-562324A274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11" y="5647072"/>
              <a:ext cx="2174210" cy="92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26968</xdr:colOff>
      <xdr:row>36</xdr:row>
      <xdr:rowOff>69930</xdr:rowOff>
    </xdr:from>
    <xdr:to>
      <xdr:col>2</xdr:col>
      <xdr:colOff>564445</xdr:colOff>
      <xdr:row>46</xdr:row>
      <xdr:rowOff>172470</xdr:rowOff>
    </xdr:to>
    <mc:AlternateContent xmlns:mc="http://schemas.openxmlformats.org/markup-compatibility/2006" xmlns:a14="http://schemas.microsoft.com/office/drawing/2010/main">
      <mc:Choice Requires="a14">
        <xdr:graphicFrame macro="">
          <xdr:nvGraphicFramePr>
            <xdr:cNvPr id="12" name="Children">
              <a:extLst>
                <a:ext uri="{FF2B5EF4-FFF2-40B4-BE49-F238E27FC236}">
                  <a16:creationId xmlns:a16="http://schemas.microsoft.com/office/drawing/2014/main" xmlns="" id="{68D9CD90-E231-42CE-47A3-2CE1C34056E8}"/>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26968" y="6843263"/>
              <a:ext cx="2199452" cy="1984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crosoft Office User" refreshedDate="45294.594299305558" createdVersion="8" refreshedVersion="8"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389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5">
        <item x="2"/>
        <item m="1" x="3"/>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1">
    <format dxfId="0">
      <pivotArea collapsedLevelsAreSubtotals="1" fieldPosition="0">
        <references count="1">
          <reference field="2" count="0"/>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6:D5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3"/>
    <pivotTable tabId="3" name="PivotTable4"/>
  </pivotTables>
  <data>
    <tabular pivotCacheId="9238968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3"/>
    <pivotTable tabId="3" name="PivotTable4"/>
  </pivotTables>
  <data>
    <tabular pivotCacheId="92389687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3"/>
    <pivotTable tabId="3" name="PivotTable4"/>
  </pivotTables>
  <data>
    <tabular pivotCacheId="92389687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s>
  <data>
    <tabular pivotCacheId="92389687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hildren" sourceName="Children">
  <pivotTables>
    <pivotTable tabId="3" name="PivotTable1"/>
  </pivotTables>
  <data>
    <tabular pivotCacheId="923896878">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Dark1" rowHeight="230716"/>
  <slicer name="Education" cache="Slicer_Education" caption="Education" style="SlicerStyleDark1" rowHeight="230716"/>
  <slicer name="Region" cache="Slicer_Region" caption="Region" style="SlicerStyleDark1" rowHeight="230716"/>
  <slicer name="Gender" cache="Slicer_Gender" caption="Gender" style="SlicerStyleDark1" rowHeight="230716"/>
  <slicer name="Children" cache="Slicer_Children" caption="Children" style="SlicerStyleDark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3" workbookViewId="0">
      <selection activeCell="A2" sqref="A2:A1027"/>
    </sheetView>
  </sheetViews>
  <sheetFormatPr defaultColWidth="11.8164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E1" workbookViewId="0">
      <selection activeCell="M346" sqref="M1:M346"/>
    </sheetView>
  </sheetViews>
  <sheetFormatPr defaultColWidth="18" defaultRowHeight="14.5" x14ac:dyDescent="0.35"/>
  <cols>
    <col min="4" max="4" width="18" style="3"/>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 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 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IF(L34&gt;54, "Old", IF(L34&gt;30,"Middle Age",IF(L34&lt;31,"Adolescent","Invalid")))</f>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 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IF(L77&gt;54, "Old", IF(L77&gt;30,"Middle Age",IF(L77&lt;31,"Adolescent","Invalid")))</f>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IF(L124&gt;54, "Old", IF(L124&gt;30,"Middle Age",IF(L124&lt;31,"Adolescent","Invalid")))</f>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 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 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IF(L202&gt;54, "Old", IF(L202&gt;30,"Middle Age",IF(L202&lt;31,"Adolescent","Invalid")))</f>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IF(L215&gt;54, "Old", IF(L215&gt;30,"Middle Age",IF(L215&lt;31,"Adolescent","Invalid")))</f>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IF(L254&gt;54, "Old", IF(L254&gt;30,"Middle Age",IF(L254&lt;31,"Adolescent","Invalid")))</f>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 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 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IF(L346&gt;54, "Old", IF(L346&gt;30,"Middle Age",IF(L346&lt;31,"Adolescent","Invalid")))</f>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 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IF(L431&gt;54, "Old", IF(L431&gt;30,"Middle Age",IF(L431&lt;31,"Adolescent","Invalid")))</f>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 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IF(L462&gt;54, "Old", IF(L462&gt;30,"Middle Age",IF(L462&lt;31,"Adolescent","Invalid")))</f>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IF(L486&gt;54, "Old", IF(L486&gt;30,"Middle Age",IF(L486&lt;31,"Adolescent","Invalid")))</f>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IF(L494&gt;54, "Old", IF(L494&gt;30,"Middle Age",IF(L494&lt;31,"Adolescent","Invalid")))</f>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IF(L501&gt;54, "Old", IF(L501&gt;30,"Middle Age",IF(L501&lt;31,"Adolescent","Invalid")))</f>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7" si="8">IF(L515&gt;54, "Old", 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IF(L559&gt;54, "Old", IF(L559&gt;30,"Middle Age",IF(L559&lt;31,"Adolescent","Invalid")))</f>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IF(L578&gt;54, "Old", IF(L578&gt;30,"Middle Age",IF(L578&lt;31,"Adolescent","Invalid")))</f>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 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 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IF(L649&gt;54, "Old", IF(L649&gt;30,"Middle Age",IF(L649&lt;31,"Adolescent","Invalid")))</f>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ref="M655:M657" si="11">IF(L655&gt;54, "Old", IF(L655&gt;30,"Middle Age",IF(L655&lt;31,"Adolescent","Invalid")))</f>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1"/>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1"/>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2">IF(L707&gt;54, "Old", 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2"/>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2"/>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2"/>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2"/>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2"/>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2"/>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2"/>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2"/>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2"/>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2"/>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2"/>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2"/>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2"/>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2"/>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2"/>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2"/>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2"/>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2"/>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2"/>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2"/>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2"/>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2"/>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2"/>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2"/>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2"/>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2"/>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2"/>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2"/>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2"/>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2"/>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IF(L738&gt;54, "Old", IF(L738&gt;30,"Middle Age",IF(L738&lt;31,"Adolescent","Invalid")))</f>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2"/>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2"/>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2"/>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2"/>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2"/>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2"/>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2"/>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2"/>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2"/>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2"/>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2"/>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2"/>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2"/>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2"/>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2"/>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2"/>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2"/>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2"/>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2"/>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2"/>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2"/>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2"/>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2"/>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2"/>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2"/>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2"/>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2"/>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2"/>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2"/>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2"/>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2"/>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2"/>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3">IF(L771&gt;54, "Old", 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3"/>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3"/>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3"/>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3"/>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3"/>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3"/>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3"/>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3"/>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3"/>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3"/>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3"/>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3"/>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3"/>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3"/>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3"/>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3"/>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3"/>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3"/>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3"/>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3"/>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3"/>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3"/>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3"/>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3"/>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3"/>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3"/>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3"/>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3"/>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3"/>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3"/>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3"/>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3"/>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3"/>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3"/>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3"/>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IF(L807&gt;54, "Old", IF(L807&gt;30,"Middle Age",IF(L807&lt;31,"Adolescent","Invalid")))</f>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3"/>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3"/>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3"/>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3"/>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3"/>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IF(L813&gt;54, "Old", IF(L813&gt;30,"Middle Age",IF(L813&lt;31,"Adolescent","Invalid")))</f>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3"/>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3"/>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3"/>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3"/>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3"/>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3"/>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3"/>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3"/>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3"/>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3"/>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3"/>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3"/>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3"/>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3"/>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3"/>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3"/>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3"/>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3"/>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3"/>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3"/>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3"/>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4">IF(L835&gt;54, "Old", 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4"/>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4"/>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4"/>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4"/>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4"/>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4"/>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4"/>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4"/>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4"/>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4"/>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4"/>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4"/>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4"/>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4"/>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4"/>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4"/>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4"/>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4"/>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4"/>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4"/>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4"/>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IF(L857&gt;54, "Old", IF(L857&gt;30,"Middle Age",IF(L857&lt;31,"Adolescent","Invalid")))</f>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4"/>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4"/>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4"/>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4"/>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4"/>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4"/>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4"/>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4"/>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IF(L866&gt;54, "Old", IF(L866&gt;30,"Middle Age",IF(L866&lt;31,"Adolescent","Invalid")))</f>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4"/>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4"/>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4"/>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4"/>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4"/>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4"/>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4"/>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4"/>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4"/>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4"/>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4"/>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4"/>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4"/>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4"/>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4"/>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4"/>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4"/>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4"/>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4"/>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4"/>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4"/>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4"/>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4"/>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4"/>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4"/>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4"/>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4"/>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4"/>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4"/>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4"/>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4"/>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4"/>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5">IF(L899&gt;54, "Old", 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5"/>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5"/>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5"/>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5"/>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5"/>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5"/>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5"/>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5"/>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5"/>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5"/>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5"/>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5"/>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5"/>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5"/>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5"/>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5"/>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5"/>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5"/>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5"/>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5"/>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5"/>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5"/>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5"/>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5"/>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5"/>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5"/>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5"/>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5"/>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5"/>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5"/>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5"/>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5"/>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5"/>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5"/>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5"/>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5"/>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5"/>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5"/>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5"/>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5"/>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5"/>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5"/>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5"/>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5"/>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5"/>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5"/>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5"/>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5"/>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5"/>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5"/>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5"/>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5"/>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5"/>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5"/>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5"/>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5"/>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5"/>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5"/>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5"/>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5"/>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5"/>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5"/>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5"/>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6">IF(L963&gt;54, "Old", 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6"/>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6"/>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6"/>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6"/>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6"/>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6"/>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6"/>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6"/>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IF(L972&gt;54, "Old", IF(L972&gt;30,"Middle Age",IF(L972&lt;31,"Adolescent","Invalid")))</f>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6"/>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6"/>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6"/>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6"/>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6"/>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6"/>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6"/>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6"/>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IF(L981&gt;54, "Old", IF(L981&gt;30,"Middle Age",IF(L981&lt;31,"Adolescent","Invalid")))</f>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6"/>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6"/>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6"/>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6"/>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6"/>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6"/>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6"/>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6"/>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6"/>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6"/>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6"/>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6"/>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6"/>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6"/>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6"/>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6"/>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6"/>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6"/>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6"/>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6"/>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workbookViewId="0">
      <selection activeCell="N30" sqref="N30"/>
    </sheetView>
  </sheetViews>
  <sheetFormatPr defaultColWidth="10.90625" defaultRowHeight="14.5" x14ac:dyDescent="0.35"/>
  <cols>
    <col min="1" max="1" width="19.81640625" bestFit="1" customWidth="1"/>
    <col min="2" max="2" width="14.81640625" bestFit="1" customWidth="1"/>
    <col min="3" max="3" width="4.1796875" bestFit="1" customWidth="1"/>
    <col min="4" max="4" width="10" bestFit="1" customWidth="1"/>
    <col min="14" max="14" width="19.81640625" bestFit="1" customWidth="1"/>
    <col min="15" max="15" width="14.81640625" bestFit="1" customWidth="1"/>
    <col min="16" max="16" width="4.1796875" bestFit="1" customWidth="1"/>
    <col min="17" max="17" width="10" bestFit="1" customWidth="1"/>
    <col min="18" max="18" width="16.453125" bestFit="1" customWidth="1"/>
    <col min="19" max="19" width="10" bestFit="1" customWidth="1"/>
  </cols>
  <sheetData>
    <row r="1" spans="1:4" x14ac:dyDescent="0.35">
      <c r="A1" s="4" t="s">
        <v>44</v>
      </c>
      <c r="B1" s="4" t="s">
        <v>43</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s="7">
        <v>54874.759152215796</v>
      </c>
      <c r="C5" s="7">
        <v>57962.577962577961</v>
      </c>
      <c r="D5" s="7">
        <v>56360</v>
      </c>
    </row>
    <row r="23" spans="1:4" x14ac:dyDescent="0.35">
      <c r="A23" s="4" t="s">
        <v>45</v>
      </c>
      <c r="B23" s="4" t="s">
        <v>43</v>
      </c>
    </row>
    <row r="24" spans="1:4" x14ac:dyDescent="0.35">
      <c r="A24" s="4" t="s">
        <v>41</v>
      </c>
      <c r="B24" t="s">
        <v>18</v>
      </c>
      <c r="C24" t="s">
        <v>15</v>
      </c>
      <c r="D24" t="s">
        <v>42</v>
      </c>
    </row>
    <row r="25" spans="1:4" x14ac:dyDescent="0.35">
      <c r="A25" s="5" t="s">
        <v>16</v>
      </c>
      <c r="B25" s="7">
        <v>166</v>
      </c>
      <c r="C25" s="7">
        <v>200</v>
      </c>
      <c r="D25" s="7">
        <v>366</v>
      </c>
    </row>
    <row r="26" spans="1:4" x14ac:dyDescent="0.35">
      <c r="A26" s="5" t="s">
        <v>26</v>
      </c>
      <c r="B26" s="7">
        <v>92</v>
      </c>
      <c r="C26" s="7">
        <v>77</v>
      </c>
      <c r="D26" s="7">
        <v>169</v>
      </c>
    </row>
    <row r="27" spans="1:4" x14ac:dyDescent="0.35">
      <c r="A27" s="5" t="s">
        <v>22</v>
      </c>
      <c r="B27" s="7">
        <v>67</v>
      </c>
      <c r="C27" s="7">
        <v>95</v>
      </c>
      <c r="D27" s="7">
        <v>162</v>
      </c>
    </row>
    <row r="28" spans="1:4" x14ac:dyDescent="0.35">
      <c r="A28" s="5" t="s">
        <v>23</v>
      </c>
      <c r="B28" s="7">
        <v>116</v>
      </c>
      <c r="C28" s="7">
        <v>76</v>
      </c>
      <c r="D28" s="7">
        <v>192</v>
      </c>
    </row>
    <row r="29" spans="1:4" x14ac:dyDescent="0.35">
      <c r="A29" s="5" t="s">
        <v>46</v>
      </c>
      <c r="B29" s="7">
        <v>78</v>
      </c>
      <c r="C29" s="7">
        <v>33</v>
      </c>
      <c r="D29" s="7">
        <v>111</v>
      </c>
    </row>
    <row r="30" spans="1:4" x14ac:dyDescent="0.35">
      <c r="A30" s="5" t="s">
        <v>42</v>
      </c>
      <c r="B30" s="7">
        <v>519</v>
      </c>
      <c r="C30" s="7">
        <v>481</v>
      </c>
      <c r="D30" s="7">
        <v>1000</v>
      </c>
    </row>
    <row r="46" spans="1:4" x14ac:dyDescent="0.35">
      <c r="A46" s="4" t="s">
        <v>45</v>
      </c>
      <c r="B46" s="4" t="s">
        <v>43</v>
      </c>
    </row>
    <row r="47" spans="1:4" x14ac:dyDescent="0.35">
      <c r="A47" s="4" t="s">
        <v>41</v>
      </c>
      <c r="B47" t="s">
        <v>18</v>
      </c>
      <c r="C47" t="s">
        <v>15</v>
      </c>
      <c r="D47" t="s">
        <v>42</v>
      </c>
    </row>
    <row r="48" spans="1:4" x14ac:dyDescent="0.35">
      <c r="A48" s="5" t="s">
        <v>47</v>
      </c>
      <c r="B48" s="7">
        <v>71</v>
      </c>
      <c r="C48" s="7">
        <v>39</v>
      </c>
      <c r="D48" s="7">
        <v>110</v>
      </c>
    </row>
    <row r="49" spans="1:4" x14ac:dyDescent="0.35">
      <c r="A49" s="5" t="s">
        <v>48</v>
      </c>
      <c r="B49" s="7">
        <v>318</v>
      </c>
      <c r="C49" s="7">
        <v>383</v>
      </c>
      <c r="D49" s="7">
        <v>701</v>
      </c>
    </row>
    <row r="50" spans="1:4" x14ac:dyDescent="0.35">
      <c r="A50" s="5" t="s">
        <v>49</v>
      </c>
      <c r="B50" s="7">
        <v>130</v>
      </c>
      <c r="C50" s="7">
        <v>59</v>
      </c>
      <c r="D50" s="7">
        <v>189</v>
      </c>
    </row>
    <row r="51" spans="1:4" x14ac:dyDescent="0.35">
      <c r="A51" s="5" t="s">
        <v>42</v>
      </c>
      <c r="B51" s="7">
        <v>519</v>
      </c>
      <c r="C51" s="7">
        <v>481</v>
      </c>
      <c r="D51"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zoomScale="81" workbookViewId="0">
      <selection activeCell="Q18" sqref="Q18"/>
    </sheetView>
  </sheetViews>
  <sheetFormatPr defaultColWidth="10.90625" defaultRowHeight="14.5" x14ac:dyDescent="0.35"/>
  <sheetData>
    <row r="1" spans="1:15" x14ac:dyDescent="0.35">
      <c r="A1" s="8" t="s">
        <v>50</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row r="5" spans="1:15" x14ac:dyDescent="0.35">
      <c r="A5" s="9"/>
      <c r="B5" s="9"/>
      <c r="C5" s="9"/>
      <c r="D5" s="9"/>
      <c r="E5" s="9"/>
      <c r="F5" s="9"/>
      <c r="G5" s="9"/>
      <c r="H5" s="9"/>
      <c r="I5" s="9"/>
      <c r="J5" s="9"/>
      <c r="K5" s="9"/>
      <c r="L5" s="9"/>
      <c r="M5" s="9"/>
      <c r="N5" s="9"/>
      <c r="O5" s="9"/>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Ravindra Chaudhari</dc:creator>
  <cp:lastModifiedBy>dell</cp:lastModifiedBy>
  <dcterms:created xsi:type="dcterms:W3CDTF">2022-03-18T02:50:57Z</dcterms:created>
  <dcterms:modified xsi:type="dcterms:W3CDTF">2026-05-22T10:32:15Z</dcterms:modified>
</cp:coreProperties>
</file>